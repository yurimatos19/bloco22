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Balcão" sheetId="2" state="visible" r:id="rId2"/>
    <sheet name="Reservas" sheetId="3" state="visible" r:id="rId3"/>
    <sheet name="Configurações" sheetId="4" state="visible" r:id="rId4"/>
    <sheet name="Como usar" sheetId="5" state="visible" r:id="rId5"/>
  </sheets>
  <definedNames>
    <definedName name="CFG_PRECO">'Configurações'!$B$5</definedName>
    <definedName name="CFG_MAX">'Configurações'!$B$6</definedName>
    <definedName name="CFG_ABERTAS">'Configurações'!$B$7</definedName>
    <definedName name="CFG_ESTOQUE">'Configurações'!$A$11:$B$14</definedName>
    <definedName name="_xlnm._FilterDatabase" localSheetId="2" hidden="1">'Reservas'!$A$1:$N$2000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 hh:mm"/>
  </numFmts>
  <fonts count="24">
    <font>
      <name val="Calibri"/>
      <family val="2"/>
      <color theme="1"/>
      <sz val="11"/>
      <scheme val="minor"/>
    </font>
    <font>
      <name val="Roboto"/>
      <sz val="10"/>
    </font>
    <font>
      <name val="Montserrat"/>
      <b val="1"/>
      <color rgb="00FFD21F"/>
      <sz val="18"/>
    </font>
    <font>
      <name val="Roboto"/>
      <color rgb="00FFFFFF"/>
      <sz val="10"/>
    </font>
    <font>
      <name val="Montserrat"/>
      <b val="1"/>
      <color rgb="00053B1E"/>
      <sz val="12"/>
    </font>
    <font>
      <name val="Roboto"/>
      <b val="1"/>
      <color rgb="00FFFFFF"/>
    </font>
    <font>
      <name val="Montserrat"/>
      <b val="1"/>
    </font>
    <font>
      <name val="Roboto"/>
      <b val="1"/>
    </font>
    <font>
      <name val="Roboto"/>
      <b val="1"/>
      <sz val="11"/>
    </font>
    <font>
      <name val="Roboto"/>
      <i val="1"/>
      <color rgb="005B6A61"/>
      <sz val="10"/>
    </font>
    <font>
      <name val="Roboto"/>
      <b val="1"/>
      <color rgb="005B6A61"/>
      <sz val="10"/>
    </font>
    <font>
      <name val="Montserrat"/>
      <b val="1"/>
      <color rgb="00053B1E"/>
      <sz val="24"/>
    </font>
    <font>
      <name val="Roboto"/>
      <color rgb="005B6A61"/>
      <sz val="9"/>
    </font>
    <font>
      <name val="Montserrat"/>
      <b val="1"/>
      <color rgb="001D3B9A"/>
      <sz val="24"/>
    </font>
    <font>
      <name val="Montserrat"/>
      <b val="1"/>
      <color rgb="000F1D15"/>
      <sz val="11"/>
    </font>
    <font>
      <name val="Roboto"/>
      <color rgb="000F1D15"/>
      <sz val="11"/>
    </font>
    <font>
      <name val="Roboto"/>
      <b val="1"/>
      <color rgb="00053B1E"/>
      <sz val="11"/>
    </font>
    <font>
      <name val="Roboto"/>
      <b val="1"/>
      <color rgb="000F1D15"/>
      <sz val="11"/>
    </font>
    <font>
      <name val="Roboto"/>
      <color rgb="005B6A61"/>
      <sz val="10"/>
    </font>
    <font>
      <name val="Roboto Mono"/>
      <b val="1"/>
      <sz val="14"/>
    </font>
    <font>
      <name val="Roboto"/>
      <sz val="11"/>
    </font>
    <font>
      <name val="Roboto"/>
      <i val="1"/>
      <color rgb="005B6A61"/>
    </font>
    <font>
      <name val="Roboto Mono"/>
      <b val="1"/>
    </font>
    <font>
      <name val="Montserrat"/>
      <b val="1"/>
      <color rgb="00032814"/>
    </font>
  </fonts>
  <fills count="9">
    <fill>
      <patternFill/>
    </fill>
    <fill>
      <patternFill patternType="gray125"/>
    </fill>
    <fill>
      <patternFill patternType="solid">
        <fgColor rgb="00F2F6F0"/>
        <bgColor rgb="00F2F6F0"/>
      </patternFill>
    </fill>
    <fill>
      <patternFill patternType="solid">
        <fgColor rgb="00053B1E"/>
        <bgColor rgb="00053B1E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FF8D6"/>
        <bgColor rgb="00FFF8D6"/>
      </patternFill>
    </fill>
    <fill>
      <patternFill patternType="solid">
        <fgColor rgb="000B7A35"/>
        <bgColor rgb="000B7A35"/>
      </patternFill>
    </fill>
    <fill>
      <patternFill patternType="solid">
        <fgColor rgb="00FFD21F"/>
        <bgColor rgb="00FFD21F"/>
      </patternFill>
    </fill>
  </fills>
  <borders count="20">
    <border>
      <left/>
      <right/>
      <top/>
      <bottom/>
      <diagonal/>
    </border>
    <border/>
    <border>
      <left style="thin">
        <color rgb="00D5DED8"/>
      </left>
      <right style="thin">
        <color rgb="00D5DED8"/>
      </right>
      <top style="thin">
        <color rgb="00D5DED8"/>
      </top>
      <bottom style="thin">
        <color rgb="00D5DED8"/>
      </bottom>
    </border>
    <border>
      <left style="thin">
        <color rgb="00D5DED8"/>
      </left>
      <top style="thin">
        <color rgb="00D5DED8"/>
      </top>
    </border>
    <border>
      <right style="thin">
        <color rgb="00D5DED8"/>
      </right>
      <top style="thin">
        <color rgb="00D5DED8"/>
      </top>
    </border>
    <border>
      <left style="thin">
        <color rgb="00D5DED8"/>
      </left>
    </border>
    <border>
      <right style="thin">
        <color rgb="00D5DED8"/>
      </right>
    </border>
    <border>
      <left style="thin">
        <color rgb="00D5DED8"/>
      </left>
      <bottom style="thin">
        <color rgb="00D5DED8"/>
      </bottom>
    </border>
    <border>
      <right style="thin">
        <color rgb="00D5DED8"/>
      </right>
      <bottom style="thin">
        <color rgb="00D5DED8"/>
      </bottom>
    </border>
    <border>
      <left style="thin">
        <color rgb="00D5DED8"/>
      </left>
      <right style="thin">
        <color rgb="00D5DED8"/>
      </right>
      <top style="thin">
        <color rgb="00D5DED8"/>
      </top>
    </border>
    <border>
      <left/>
      <right/>
      <top style="thin">
        <color rgb="00D5DED8"/>
      </top>
      <bottom/>
      <diagonal/>
    </border>
    <border>
      <left/>
      <right style="thin">
        <color rgb="00D5DED8"/>
      </right>
      <top style="thin">
        <color rgb="00D5DED8"/>
      </top>
      <bottom/>
      <diagonal/>
    </border>
    <border>
      <left style="thin">
        <color rgb="00D5DED8"/>
      </left>
      <right style="thin">
        <color rgb="00D5DED8"/>
      </right>
    </border>
    <border>
      <left/>
      <right style="thin">
        <color rgb="00D5DED8"/>
      </right>
      <top/>
      <bottom/>
      <diagonal/>
    </border>
    <border>
      <left style="thin">
        <color rgb="00D5DED8"/>
      </left>
      <right style="thin">
        <color rgb="00D5DED8"/>
      </right>
      <bottom style="thin">
        <color rgb="00D5DED8"/>
      </bottom>
    </border>
    <border>
      <left/>
      <right style="thin">
        <color rgb="00D5DED8"/>
      </right>
      <top/>
      <bottom style="thin">
        <color rgb="00D5DED8"/>
      </bottom>
      <diagonal/>
    </border>
    <border>
      <top style="thin">
        <color rgb="00D5DED8"/>
      </top>
      <bottom style="thin">
        <color rgb="00D5DED8"/>
      </bottom>
    </border>
    <border>
      <left style="medium">
        <color rgb="000B7A35"/>
      </left>
      <top style="medium">
        <color rgb="000B7A35"/>
      </top>
      <bottom style="medium">
        <color rgb="000B7A35"/>
      </bottom>
    </border>
    <border>
      <right style="medium">
        <color rgb="000B7A35"/>
      </right>
      <top style="medium">
        <color rgb="000B7A35"/>
      </top>
      <bottom style="medium">
        <color rgb="000B7A35"/>
      </bottom>
    </border>
    <border>
      <bottom style="thin">
        <color rgb="00D5DED8"/>
      </bottom>
    </border>
  </borders>
  <cellStyleXfs count="2">
    <xf numFmtId="0" fontId="0" fillId="0" borderId="0"/>
    <xf numFmtId="0" fontId="1" fillId="0" borderId="1" applyAlignment="1">
      <alignment vertical="center"/>
    </xf>
  </cellStyleXfs>
  <cellXfs count="49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top" wrapText="1"/>
    </xf>
    <xf numFmtId="0" fontId="0" fillId="2" borderId="0" pivotButton="0" quotePrefix="0" xfId="0"/>
    <xf numFmtId="0" fontId="10" fillId="4" borderId="9" applyAlignment="1" pivotButton="0" quotePrefix="0" xfId="0">
      <alignment horizontal="left" vertical="center" wrapText="1"/>
    </xf>
    <xf numFmtId="0" fontId="0" fillId="0" borderId="11" pivotButton="0" quotePrefix="0" xfId="0"/>
    <xf numFmtId="1" fontId="11" fillId="4" borderId="12" applyAlignment="1" pivotButton="0" quotePrefix="0" xfId="0">
      <alignment horizontal="left" vertical="center" wrapText="1"/>
    </xf>
    <xf numFmtId="0" fontId="0" fillId="0" borderId="13" pivotButton="0" quotePrefix="0" xfId="0"/>
    <xf numFmtId="1" fontId="13" fillId="4" borderId="12" applyAlignment="1" pivotButton="0" quotePrefix="0" xfId="0">
      <alignment horizontal="left" vertical="center" wrapText="1"/>
    </xf>
    <xf numFmtId="0" fontId="12" fillId="4" borderId="14" applyAlignment="1" pivotButton="0" quotePrefix="0" xfId="0">
      <alignment horizontal="left" vertical="center" wrapText="1"/>
    </xf>
    <xf numFmtId="0" fontId="0" fillId="0" borderId="15" pivotButton="0" quotePrefix="0" xfId="0"/>
    <xf numFmtId="164" fontId="11" fillId="4" borderId="12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bottom"/>
    </xf>
    <xf numFmtId="0" fontId="5" fillId="3" borderId="0" applyAlignment="1" pivotButton="0" quotePrefix="0" xfId="0">
      <alignment horizontal="center" vertical="center" wrapText="1"/>
    </xf>
    <xf numFmtId="1" fontId="14" fillId="4" borderId="16" applyAlignment="1" pivotButton="0" quotePrefix="0" xfId="0">
      <alignment horizontal="center" vertical="center" wrapText="1"/>
    </xf>
    <xf numFmtId="1" fontId="15" fillId="4" borderId="16" applyAlignment="1" pivotButton="0" quotePrefix="0" xfId="0">
      <alignment horizontal="center" vertical="center" wrapText="1"/>
    </xf>
    <xf numFmtId="1" fontId="16" fillId="4" borderId="16" applyAlignment="1" pivotButton="0" quotePrefix="0" xfId="0">
      <alignment horizontal="center" vertical="center" wrapText="1"/>
    </xf>
    <xf numFmtId="9" fontId="15" fillId="4" borderId="16" applyAlignment="1" pivotButton="0" quotePrefix="0" xfId="0">
      <alignment horizontal="center" vertical="center" wrapText="1"/>
    </xf>
    <xf numFmtId="1" fontId="14" fillId="5" borderId="16" applyAlignment="1" pivotButton="0" quotePrefix="0" xfId="0">
      <alignment horizontal="center" vertical="center" wrapText="1"/>
    </xf>
    <xf numFmtId="1" fontId="17" fillId="5" borderId="16" applyAlignment="1" pivotButton="0" quotePrefix="0" xfId="0">
      <alignment horizontal="center" vertical="center" wrapText="1"/>
    </xf>
    <xf numFmtId="1" fontId="16" fillId="5" borderId="16" applyAlignment="1" pivotButton="0" quotePrefix="0" xfId="0">
      <alignment horizontal="center" vertical="center" wrapText="1"/>
    </xf>
    <xf numFmtId="9" fontId="17" fillId="5" borderId="16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19" fillId="6" borderId="17" pivotButton="0" quotePrefix="0" xfId="0"/>
    <xf numFmtId="0" fontId="0" fillId="6" borderId="18" pivotButton="0" quotePrefix="0" xfId="0"/>
    <xf numFmtId="0" fontId="21" fillId="0" borderId="0" pivotButton="0" quotePrefix="0" xfId="0"/>
    <xf numFmtId="0" fontId="20" fillId="6" borderId="17" pivotButton="0" quotePrefix="0" xfId="0"/>
    <xf numFmtId="0" fontId="8" fillId="6" borderId="2" pivotButton="0" quotePrefix="0" xfId="0"/>
    <xf numFmtId="0" fontId="8" fillId="0" borderId="0" applyAlignment="1" pivotButton="0" quotePrefix="0" xfId="0">
      <alignment horizontal="left" vertical="center" wrapText="1"/>
    </xf>
    <xf numFmtId="0" fontId="22" fillId="4" borderId="19" applyAlignment="1" pivotButton="0" quotePrefix="0" xfId="0">
      <alignment horizontal="left" vertical="center"/>
    </xf>
    <xf numFmtId="165" fontId="0" fillId="4" borderId="19" applyAlignment="1" pivotButton="0" quotePrefix="0" xfId="0">
      <alignment horizontal="left" vertical="center"/>
    </xf>
    <xf numFmtId="0" fontId="0" fillId="4" borderId="19" applyAlignment="1" pivotButton="0" quotePrefix="0" xfId="0">
      <alignment horizontal="left" vertical="center"/>
    </xf>
    <xf numFmtId="0" fontId="0" fillId="4" borderId="19" applyAlignment="1" pivotButton="0" quotePrefix="0" xfId="0">
      <alignment horizontal="center" vertical="center"/>
    </xf>
    <xf numFmtId="164" fontId="0" fillId="4" borderId="19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8" fillId="2" borderId="0" pivotButton="0" quotePrefix="0" xfId="0"/>
    <xf numFmtId="164" fontId="8" fillId="6" borderId="2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1" fontId="8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1" fontId="8" fillId="6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8" fillId="4" borderId="0" pivotButton="0" quotePrefix="0" xfId="0"/>
    <xf numFmtId="0" fontId="0" fillId="4" borderId="0" pivotButton="0" quotePrefix="0" xfId="0"/>
    <xf numFmtId="0" fontId="23" fillId="8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left" vertical="center" wrapText="1"/>
    </xf>
  </cellXfs>
  <cellStyles count="2">
    <cellStyle name="Normal" xfId="0" builtinId="0" hidden="0"/>
    <cellStyle name="base" xfId="1" hidden="0"/>
  </cellStyles>
  <dxfs count="5">
    <dxf>
      <font>
        <b val="1"/>
        <color rgb="001D3B9A"/>
      </font>
      <fill>
        <patternFill patternType="solid">
          <fgColor rgb="00E9EEFB"/>
          <bgColor rgb="00E9EEFB"/>
        </patternFill>
      </fill>
    </dxf>
    <dxf>
      <font>
        <b val="1"/>
        <color rgb="00053B1E"/>
      </font>
      <fill>
        <patternFill patternType="solid">
          <fgColor rgb="00E6F4EA"/>
          <bgColor rgb="00E6F4EA"/>
        </patternFill>
      </fill>
    </dxf>
    <dxf>
      <font>
        <b val="1"/>
        <color rgb="005C4A00"/>
      </font>
      <fill>
        <patternFill patternType="solid">
          <fgColor rgb="00FFF8D6"/>
          <bgColor rgb="00FFF8D6"/>
        </patternFill>
      </fill>
    </dxf>
    <dxf>
      <font>
        <strike val="1"/>
        <color rgb="009AA59E"/>
      </font>
    </dxf>
    <dxf>
      <fill>
        <patternFill patternType="solid">
          <fgColor rgb="00F2F6F0"/>
          <bgColor rgb="00F2F6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21F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.3" customWidth="1" min="1" max="1"/>
    <col width="18.3" customWidth="1" min="2" max="2"/>
    <col width="18.3" customWidth="1" min="3" max="3"/>
    <col width="18.3" customWidth="1" min="4" max="4"/>
    <col width="18.3" customWidth="1" min="5" max="5"/>
    <col width="18.3" customWidth="1" min="6" max="6"/>
    <col width="18.3" customWidth="1" min="7" max="7"/>
    <col width="18.3" customWidth="1" min="8" max="8"/>
  </cols>
  <sheetData>
    <row r="1" ht="39" customHeight="1">
      <c r="A1" s="1" t="inlineStr">
        <is>
          <t>Bloco do 22 — Painel de reservas</t>
        </is>
      </c>
      <c r="B1" s="2" t="n"/>
      <c r="C1" s="2" t="n"/>
      <c r="D1" s="2" t="n"/>
      <c r="E1" s="2" t="n"/>
      <c r="F1" s="2" t="n"/>
      <c r="G1" s="2" t="n"/>
      <c r="H1" s="2" t="n"/>
    </row>
    <row r="2" ht="21" customHeight="1">
      <c r="A2" s="3" t="inlineStr">
        <is>
          <t>Atualiza sozinho a cada reserva. Evento: Quinta-feira, 22/10/2026, às 19h, na Pracinha de Boa Viagem.</t>
        </is>
      </c>
      <c r="B2" s="2" t="n"/>
      <c r="C2" s="2" t="n"/>
      <c r="D2" s="2" t="n"/>
      <c r="E2" s="2" t="n"/>
      <c r="F2" s="2" t="n"/>
      <c r="G2" s="2" t="n"/>
      <c r="H2" s="2" t="n"/>
    </row>
    <row r="3" ht="12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19.5" customHeight="1">
      <c r="A4" s="5" t="inlineStr">
        <is>
          <t>Reservas ativas</t>
        </is>
      </c>
      <c r="B4" s="6" t="n"/>
      <c r="C4" s="5" t="inlineStr">
        <is>
          <t>Camisas reservadas</t>
        </is>
      </c>
      <c r="D4" s="6" t="n"/>
      <c r="E4" s="5" t="inlineStr">
        <is>
          <t>Entregues</t>
        </is>
      </c>
      <c r="F4" s="6" t="n"/>
      <c r="G4" s="5" t="inlineStr">
        <is>
          <t>A entregar</t>
        </is>
      </c>
      <c r="H4" s="6" t="n"/>
    </row>
    <row r="5" ht="34.5" customHeight="1">
      <c r="A5" s="7">
        <f>COUNTIFS(Reservas!A2:A,"&lt;&gt;",Reservas!K2:K,"&lt;&gt;Cancelado")</f>
        <v/>
      </c>
      <c r="B5" s="8" t="n"/>
      <c r="C5" s="7">
        <f>SUMIFS(Reservas!I2:I,Reservas!K2:K,"&lt;&gt;Cancelado")</f>
        <v/>
      </c>
      <c r="D5" s="8" t="n"/>
      <c r="E5" s="7">
        <f>SUMIFS(Reservas!I2:I,Reservas!K2:K,"Entregue")</f>
        <v/>
      </c>
      <c r="F5" s="8" t="n"/>
      <c r="G5" s="9">
        <f>C5-E5</f>
        <v/>
      </c>
      <c r="H5" s="8" t="n"/>
    </row>
    <row r="6" ht="16.5" customHeight="1">
      <c r="A6" s="10" t="inlineStr">
        <is>
          <t>pedidos não cancelados</t>
        </is>
      </c>
      <c r="B6" s="11" t="n"/>
      <c r="C6" s="10">
        <f>"de "&amp;SUM(INDEX(CFG_ESTOQUE,0,2))&amp;" camisas"</f>
        <v/>
      </c>
      <c r="D6" s="11" t="n"/>
      <c r="E6" s="10" t="inlineStr">
        <is>
          <t>camisas já retiradas</t>
        </is>
      </c>
      <c r="F6" s="11" t="n"/>
      <c r="G6" s="10" t="inlineStr">
        <is>
          <t>reservadas e ainda não retiradas</t>
        </is>
      </c>
      <c r="H6" s="11" t="n"/>
    </row>
    <row r="7" ht="10.5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19.5" customHeight="1">
      <c r="A8" s="5" t="inlineStr">
        <is>
          <t>Disponíveis no site</t>
        </is>
      </c>
      <c r="B8" s="6" t="n"/>
      <c r="C8" s="5" t="inlineStr">
        <is>
          <t>Valor a receber</t>
        </is>
      </c>
      <c r="D8" s="6" t="n"/>
      <c r="E8" s="5" t="inlineStr">
        <is>
          <t>Valor recebido</t>
        </is>
      </c>
      <c r="F8" s="6" t="n"/>
      <c r="G8" s="5" t="inlineStr">
        <is>
          <t>Canceladas</t>
        </is>
      </c>
      <c r="H8" s="6" t="n"/>
    </row>
    <row r="9" ht="34.5" customHeight="1">
      <c r="A9" s="7">
        <f>MAX(0,SUM(INDEX(CFG_ESTOQUE,0,2))-C5)</f>
        <v/>
      </c>
      <c r="B9" s="8" t="n"/>
      <c r="C9" s="12">
        <f>SUMIFS(Reservas!J2:J,Reservas!K2:K,"Reservado")</f>
        <v/>
      </c>
      <c r="D9" s="8" t="n"/>
      <c r="E9" s="12">
        <f>SUMIFS(Reservas!J2:J,Reservas!K2:K,"Entregue")</f>
        <v/>
      </c>
      <c r="F9" s="8" t="n"/>
      <c r="G9" s="7">
        <f>COUNTIF(Reservas!K2:K,"Cancelado")</f>
        <v/>
      </c>
      <c r="H9" s="8" t="n"/>
    </row>
    <row r="10" ht="16.5" customHeight="1">
      <c r="A10" s="10" t="inlineStr">
        <is>
          <t>camisas que ainda dá para reservar</t>
        </is>
      </c>
      <c r="B10" s="11" t="n"/>
      <c r="C10" s="10" t="inlineStr">
        <is>
          <t>das reservas pendentes</t>
        </is>
      </c>
      <c r="D10" s="11" t="n"/>
      <c r="E10" s="10" t="inlineStr">
        <is>
          <t>das camisas entregues</t>
        </is>
      </c>
      <c r="F10" s="11" t="n"/>
      <c r="G10" s="10" t="inlineStr">
        <is>
          <t>reservas canceladas</t>
        </is>
      </c>
      <c r="H10" s="11" t="n"/>
    </row>
    <row r="11" ht="10.5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25.5" customHeight="1">
      <c r="A12" s="13" t="inlineStr">
        <is>
          <t>Estoque por tamanho</t>
        </is>
      </c>
    </row>
    <row r="13" ht="22.5" customHeight="1">
      <c r="A13" s="14" t="inlineStr">
        <is>
          <t>Tamanho</t>
        </is>
      </c>
      <c r="B13" s="14" t="inlineStr">
        <is>
          <t>Estoque</t>
        </is>
      </c>
      <c r="C13" s="14" t="inlineStr">
        <is>
          <t>Reservadas</t>
        </is>
      </c>
      <c r="D13" s="14" t="inlineStr">
        <is>
          <t>Entregues</t>
        </is>
      </c>
      <c r="E13" s="14" t="inlineStr">
        <is>
          <t>A entregar</t>
        </is>
      </c>
      <c r="F13" s="14" t="inlineStr">
        <is>
          <t>Disponíveis</t>
        </is>
      </c>
      <c r="G13" s="14" t="inlineStr">
        <is>
          <t>Ocupação</t>
        </is>
      </c>
      <c r="H13" s="14" t="inlineStr">
        <is>
          <t>%</t>
        </is>
      </c>
    </row>
    <row r="14" ht="22.5" customHeight="1">
      <c r="A14" s="15" t="inlineStr">
        <is>
          <t>P</t>
        </is>
      </c>
      <c r="B14" s="16">
        <f>INDEX(CFG_ESTOQUE,1,2)</f>
        <v/>
      </c>
      <c r="C14" s="16">
        <f>SUMIFS(Reservas!E2:E,Reservas!K2:K,"&lt;&gt;Cancelado")</f>
        <v/>
      </c>
      <c r="D14" s="16">
        <f>SUMIFS(Reservas!E2:E,Reservas!K2:K,"Entregue")</f>
        <v/>
      </c>
      <c r="E14" s="16">
        <f>C14-D14</f>
        <v/>
      </c>
      <c r="F14" s="17">
        <f>MAX(0,B14-C14)</f>
        <v/>
      </c>
      <c r="G14" s="16">
        <f>SPARKLINE(C14,{"charttype","bar";"max",MAX(1,B14);"color1","#0B7A35"})</f>
        <v/>
      </c>
      <c r="H14" s="18">
        <f>IFERROR(C14/B14,0)</f>
        <v/>
      </c>
    </row>
    <row r="15" ht="22.5" customHeight="1">
      <c r="A15" s="15" t="inlineStr">
        <is>
          <t>M</t>
        </is>
      </c>
      <c r="B15" s="16">
        <f>INDEX(CFG_ESTOQUE,2,2)</f>
        <v/>
      </c>
      <c r="C15" s="16">
        <f>SUMIFS(Reservas!F2:F,Reservas!K2:K,"&lt;&gt;Cancelado")</f>
        <v/>
      </c>
      <c r="D15" s="16">
        <f>SUMIFS(Reservas!F2:F,Reservas!K2:K,"Entregue")</f>
        <v/>
      </c>
      <c r="E15" s="16">
        <f>C15-D15</f>
        <v/>
      </c>
      <c r="F15" s="17">
        <f>MAX(0,B15-C15)</f>
        <v/>
      </c>
      <c r="G15" s="16">
        <f>SPARKLINE(C15,{"charttype","bar";"max",MAX(1,B15);"color1","#0B7A35"})</f>
        <v/>
      </c>
      <c r="H15" s="18">
        <f>IFERROR(C15/B15,0)</f>
        <v/>
      </c>
    </row>
    <row r="16" ht="22.5" customHeight="1">
      <c r="A16" s="15" t="inlineStr">
        <is>
          <t>G</t>
        </is>
      </c>
      <c r="B16" s="16">
        <f>INDEX(CFG_ESTOQUE,3,2)</f>
        <v/>
      </c>
      <c r="C16" s="16">
        <f>SUMIFS(Reservas!G2:G,Reservas!K2:K,"&lt;&gt;Cancelado")</f>
        <v/>
      </c>
      <c r="D16" s="16">
        <f>SUMIFS(Reservas!G2:G,Reservas!K2:K,"Entregue")</f>
        <v/>
      </c>
      <c r="E16" s="16">
        <f>C16-D16</f>
        <v/>
      </c>
      <c r="F16" s="17">
        <f>MAX(0,B16-C16)</f>
        <v/>
      </c>
      <c r="G16" s="16">
        <f>SPARKLINE(C16,{"charttype","bar";"max",MAX(1,B16);"color1","#0B7A35"})</f>
        <v/>
      </c>
      <c r="H16" s="18">
        <f>IFERROR(C16/B16,0)</f>
        <v/>
      </c>
    </row>
    <row r="17" ht="22.5" customHeight="1">
      <c r="A17" s="15" t="inlineStr">
        <is>
          <t>GG</t>
        </is>
      </c>
      <c r="B17" s="16">
        <f>INDEX(CFG_ESTOQUE,4,2)</f>
        <v/>
      </c>
      <c r="C17" s="16">
        <f>SUMIFS(Reservas!H2:H,Reservas!K2:K,"&lt;&gt;Cancelado")</f>
        <v/>
      </c>
      <c r="D17" s="16">
        <f>SUMIFS(Reservas!H2:H,Reservas!K2:K,"Entregue")</f>
        <v/>
      </c>
      <c r="E17" s="16">
        <f>C17-D17</f>
        <v/>
      </c>
      <c r="F17" s="17">
        <f>MAX(0,B17-C17)</f>
        <v/>
      </c>
      <c r="G17" s="16">
        <f>SPARKLINE(C17,{"charttype","bar";"max",MAX(1,B17);"color1","#0B7A35"})</f>
        <v/>
      </c>
      <c r="H17" s="18">
        <f>IFERROR(C17/B17,0)</f>
        <v/>
      </c>
    </row>
    <row r="18" ht="22.5" customHeight="1">
      <c r="A18" s="19" t="inlineStr">
        <is>
          <t>Total</t>
        </is>
      </c>
      <c r="B18" s="20">
        <f>SUM(B14:B17)</f>
        <v/>
      </c>
      <c r="C18" s="20">
        <f>SUM(C14:C17)</f>
        <v/>
      </c>
      <c r="D18" s="20">
        <f>SUM(D14:D17)</f>
        <v/>
      </c>
      <c r="E18" s="20">
        <f>SUM(E14:E17)</f>
        <v/>
      </c>
      <c r="F18" s="21">
        <f>SUM(F14:F17)</f>
        <v/>
      </c>
      <c r="G18" s="20">
        <f>SPARKLINE(C18,{"charttype","bar";"max",MAX(1,B18);"color1","#053B1E"})</f>
        <v/>
      </c>
      <c r="H18" s="22">
        <f>IFERROR(C18/B18,0)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23" t="inlineStr">
        <is>
          <t>Para dar baixa numa retirada, use a aba Balcão. Para cancelar uma reserva, mude o Status na aba Reservas.</t>
        </is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</sheetData>
  <mergeCells count="28">
    <mergeCell ref="C6:D6"/>
    <mergeCell ref="C5:D5"/>
    <mergeCell ref="E5:F5"/>
    <mergeCell ref="A1:H1"/>
    <mergeCell ref="G8:H8"/>
    <mergeCell ref="A6:B6"/>
    <mergeCell ref="E8:F8"/>
    <mergeCell ref="C4:D4"/>
    <mergeCell ref="E4:F4"/>
    <mergeCell ref="C10:D10"/>
    <mergeCell ref="E10:F10"/>
    <mergeCell ref="G10:H10"/>
    <mergeCell ref="G6:H6"/>
    <mergeCell ref="C9:D9"/>
    <mergeCell ref="E9:F9"/>
    <mergeCell ref="A12:H12"/>
    <mergeCell ref="E6:F6"/>
    <mergeCell ref="A2:H2"/>
    <mergeCell ref="A5:B5"/>
    <mergeCell ref="G5:H5"/>
    <mergeCell ref="A8:B8"/>
    <mergeCell ref="C8:D8"/>
    <mergeCell ref="A4:B4"/>
    <mergeCell ref="G4:H4"/>
    <mergeCell ref="A20:H20"/>
    <mergeCell ref="A10:B10"/>
    <mergeCell ref="A9:B9"/>
    <mergeCell ref="G9:H9"/>
  </mergeCells>
  <conditionalFormatting sqref="F14:F17">
    <cfRule type="expression" priority="1" dxfId="0">
      <formula>AND($B14&gt;0,$F14&lt;=20)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3B1E"/>
    <outlinePr summaryBelow="1" summaryRight="1"/>
    <pageSetUpPr/>
  </sheetPr>
  <dimension ref="A1:N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.9" customWidth="1" min="1" max="1"/>
    <col width="18.6" customWidth="1" min="2" max="2"/>
    <col width="31.4" customWidth="1" min="3" max="3"/>
    <col width="19.3" customWidth="1" min="4" max="4"/>
    <col width="6.3" customWidth="1" min="5" max="5"/>
    <col width="6.3" customWidth="1" min="6" max="6"/>
    <col width="6.3" customWidth="1" min="7" max="7"/>
    <col width="6.3" customWidth="1" min="8" max="8"/>
    <col width="7.4" customWidth="1" min="9" max="9"/>
    <col width="12.9" customWidth="1" min="10" max="10"/>
    <col width="15.7" customWidth="1" min="11" max="11"/>
    <col width="18.6" customWidth="1" min="12" max="12"/>
    <col width="18.6" customWidth="1" min="13" max="13"/>
    <col width="37.1" customWidth="1" min="14" max="14"/>
  </cols>
  <sheetData>
    <row r="1" ht="39" customHeight="1">
      <c r="A1" s="1" t="inlineStr">
        <is>
          <t>Balcão de retirada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1" customHeight="1">
      <c r="A2" s="3" t="inlineStr">
        <is>
          <t>Digite o código ou o WhatsApp, confira a reserva, receba o pagamento e marque Entregue.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24" t="inlineStr">
        <is>
          <t>Código ou WhatsApp</t>
        </is>
      </c>
      <c r="B3" s="25" t="n"/>
      <c r="C3" s="26" t="n"/>
      <c r="D3" s="27" t="inlineStr">
        <is>
          <t>Digite e aperte Enter</t>
        </is>
      </c>
    </row>
    <row r="4" ht="25.5" customHeight="1">
      <c r="A4" s="24" t="inlineStr">
        <is>
          <t>Atendente</t>
        </is>
      </c>
      <c r="B4" s="28" t="n"/>
      <c r="C4" s="26" t="n"/>
    </row>
    <row r="5" ht="25.5" customHeight="1">
      <c r="A5" s="24" t="inlineStr">
        <is>
          <t>Entregue</t>
        </is>
      </c>
      <c r="B5" s="29" t="inlineStr">
        <is>
          <t>Não</t>
        </is>
      </c>
      <c r="D5" s="27" t="inlineStr">
        <is>
          <t>Marque depois de receber o pagamento e entregar todas as camisas</t>
        </is>
      </c>
    </row>
    <row r="6" ht="25.5" customHeight="1">
      <c r="B6" s="30" t="n"/>
    </row>
    <row r="8" ht="24" customHeight="1">
      <c r="A8" s="14" t="inlineStr">
        <is>
          <t>Código</t>
        </is>
      </c>
      <c r="B8" s="14" t="inlineStr">
        <is>
          <t>Reservado em</t>
        </is>
      </c>
      <c r="C8" s="14" t="inlineStr">
        <is>
          <t>Nome completo</t>
        </is>
      </c>
      <c r="D8" s="14" t="inlineStr">
        <is>
          <t>WhatsApp</t>
        </is>
      </c>
      <c r="E8" s="14" t="inlineStr">
        <is>
          <t>P</t>
        </is>
      </c>
      <c r="F8" s="14" t="inlineStr">
        <is>
          <t>M</t>
        </is>
      </c>
      <c r="G8" s="14" t="inlineStr">
        <is>
          <t>G</t>
        </is>
      </c>
      <c r="H8" s="14" t="inlineStr">
        <is>
          <t>GG</t>
        </is>
      </c>
      <c r="I8" s="14" t="inlineStr">
        <is>
          <t>Qtd.</t>
        </is>
      </c>
      <c r="J8" s="14" t="inlineStr">
        <is>
          <t>Total</t>
        </is>
      </c>
      <c r="K8" s="14" t="inlineStr">
        <is>
          <t>Status</t>
        </is>
      </c>
      <c r="L8" s="14" t="inlineStr">
        <is>
          <t>Atendente</t>
        </is>
      </c>
      <c r="M8" s="14" t="inlineStr">
        <is>
          <t>Retirado em</t>
        </is>
      </c>
      <c r="N8" s="14" t="inlineStr">
        <is>
          <t>Observações</t>
        </is>
      </c>
    </row>
    <row r="9">
      <c r="A9" s="31">
        <f>ARRAYFORMULA(IF($B$3="","",IFERROR(FILTER(Reservas!A2:N,(Reservas!A2:A=UPPER(TRIM($B$3)))+IF(LEN(REGEXREPLACE($B$3&amp;"","\D",""))&gt;=8,RIGHT(REGEXREPLACE(Reservas!D2:D&amp;"","\D",""),LEN(REGEXREPLACE($B$3&amp;"","\D","")))=REGEXREPLACE($B$3&amp;"","\D",""),FALSE)),"Nenhuma reserva encontrada para esse código ou WhatsApp.")))</f>
        <v/>
      </c>
      <c r="B9" s="32" t="n"/>
      <c r="C9" s="33" t="n"/>
      <c r="D9" s="33" t="n"/>
      <c r="E9" s="34" t="n"/>
      <c r="F9" s="34" t="n"/>
      <c r="G9" s="34" t="n"/>
      <c r="H9" s="34" t="n"/>
      <c r="I9" s="34" t="n"/>
      <c r="J9" s="35" t="n"/>
      <c r="K9" s="34" t="n"/>
      <c r="L9" s="33" t="n"/>
      <c r="M9" s="32" t="n"/>
      <c r="N9" s="33" t="n"/>
    </row>
    <row r="10">
      <c r="A10" s="31" t="n"/>
      <c r="B10" s="32" t="n"/>
      <c r="C10" s="33" t="n"/>
      <c r="D10" s="33" t="n"/>
      <c r="E10" s="34" t="n"/>
      <c r="F10" s="34" t="n"/>
      <c r="G10" s="34" t="n"/>
      <c r="H10" s="34" t="n"/>
      <c r="I10" s="34" t="n"/>
      <c r="J10" s="35" t="n"/>
      <c r="K10" s="34" t="n"/>
      <c r="L10" s="33" t="n"/>
      <c r="M10" s="32" t="n"/>
      <c r="N10" s="33" t="n"/>
    </row>
    <row r="11">
      <c r="A11" s="31" t="n"/>
      <c r="B11" s="32" t="n"/>
      <c r="C11" s="33" t="n"/>
      <c r="D11" s="33" t="n"/>
      <c r="E11" s="34" t="n"/>
      <c r="F11" s="34" t="n"/>
      <c r="G11" s="34" t="n"/>
      <c r="H11" s="34" t="n"/>
      <c r="I11" s="34" t="n"/>
      <c r="J11" s="35" t="n"/>
      <c r="K11" s="34" t="n"/>
      <c r="L11" s="33" t="n"/>
      <c r="M11" s="32" t="n"/>
      <c r="N11" s="33" t="n"/>
    </row>
    <row r="12">
      <c r="A12" s="31" t="n"/>
      <c r="B12" s="32" t="n"/>
      <c r="C12" s="33" t="n"/>
      <c r="D12" s="33" t="n"/>
      <c r="E12" s="34" t="n"/>
      <c r="F12" s="34" t="n"/>
      <c r="G12" s="34" t="n"/>
      <c r="H12" s="34" t="n"/>
      <c r="I12" s="34" t="n"/>
      <c r="J12" s="35" t="n"/>
      <c r="K12" s="34" t="n"/>
      <c r="L12" s="33" t="n"/>
      <c r="M12" s="32" t="n"/>
      <c r="N12" s="33" t="n"/>
    </row>
    <row r="13">
      <c r="A13" s="31" t="n"/>
      <c r="B13" s="32" t="n"/>
      <c r="C13" s="33" t="n"/>
      <c r="D13" s="33" t="n"/>
      <c r="E13" s="34" t="n"/>
      <c r="F13" s="34" t="n"/>
      <c r="G13" s="34" t="n"/>
      <c r="H13" s="34" t="n"/>
      <c r="I13" s="34" t="n"/>
      <c r="J13" s="35" t="n"/>
      <c r="K13" s="34" t="n"/>
      <c r="L13" s="33" t="n"/>
      <c r="M13" s="32" t="n"/>
      <c r="N13" s="33" t="n"/>
    </row>
    <row r="14">
      <c r="A14" s="31" t="n"/>
      <c r="B14" s="32" t="n"/>
      <c r="C14" s="33" t="n"/>
      <c r="D14" s="33" t="n"/>
      <c r="E14" s="34" t="n"/>
      <c r="F14" s="34" t="n"/>
      <c r="G14" s="34" t="n"/>
      <c r="H14" s="34" t="n"/>
      <c r="I14" s="34" t="n"/>
      <c r="J14" s="35" t="n"/>
      <c r="K14" s="34" t="n"/>
      <c r="L14" s="33" t="n"/>
      <c r="M14" s="32" t="n"/>
      <c r="N14" s="33" t="n"/>
    </row>
    <row r="15">
      <c r="A15" s="31" t="n"/>
      <c r="B15" s="32" t="n"/>
      <c r="C15" s="33" t="n"/>
      <c r="D15" s="33" t="n"/>
      <c r="E15" s="34" t="n"/>
      <c r="F15" s="34" t="n"/>
      <c r="G15" s="34" t="n"/>
      <c r="H15" s="34" t="n"/>
      <c r="I15" s="34" t="n"/>
      <c r="J15" s="35" t="n"/>
      <c r="K15" s="34" t="n"/>
      <c r="L15" s="33" t="n"/>
      <c r="M15" s="32" t="n"/>
      <c r="N15" s="33" t="n"/>
    </row>
    <row r="16">
      <c r="A16" s="31" t="n"/>
      <c r="B16" s="32" t="n"/>
      <c r="C16" s="33" t="n"/>
      <c r="D16" s="33" t="n"/>
      <c r="E16" s="34" t="n"/>
      <c r="F16" s="34" t="n"/>
      <c r="G16" s="34" t="n"/>
      <c r="H16" s="34" t="n"/>
      <c r="I16" s="34" t="n"/>
      <c r="J16" s="35" t="n"/>
      <c r="K16" s="34" t="n"/>
      <c r="L16" s="33" t="n"/>
      <c r="M16" s="32" t="n"/>
      <c r="N16" s="33" t="n"/>
    </row>
    <row r="17">
      <c r="A17" s="31" t="n"/>
      <c r="B17" s="32" t="n"/>
      <c r="C17" s="33" t="n"/>
      <c r="D17" s="33" t="n"/>
      <c r="E17" s="34" t="n"/>
      <c r="F17" s="34" t="n"/>
      <c r="G17" s="34" t="n"/>
      <c r="H17" s="34" t="n"/>
      <c r="I17" s="34" t="n"/>
      <c r="J17" s="35" t="n"/>
      <c r="K17" s="34" t="n"/>
      <c r="L17" s="33" t="n"/>
      <c r="M17" s="32" t="n"/>
      <c r="N17" s="33" t="n"/>
    </row>
    <row r="18">
      <c r="A18" s="31" t="n"/>
      <c r="B18" s="32" t="n"/>
      <c r="C18" s="33" t="n"/>
      <c r="D18" s="33" t="n"/>
      <c r="E18" s="34" t="n"/>
      <c r="F18" s="34" t="n"/>
      <c r="G18" s="34" t="n"/>
      <c r="H18" s="34" t="n"/>
      <c r="I18" s="34" t="n"/>
      <c r="J18" s="35" t="n"/>
      <c r="K18" s="34" t="n"/>
      <c r="L18" s="33" t="n"/>
      <c r="M18" s="32" t="n"/>
      <c r="N18" s="33" t="n"/>
    </row>
    <row r="19">
      <c r="A19" s="31" t="n"/>
      <c r="B19" s="32" t="n"/>
      <c r="C19" s="33" t="n"/>
      <c r="D19" s="33" t="n"/>
      <c r="E19" s="34" t="n"/>
      <c r="F19" s="34" t="n"/>
      <c r="G19" s="34" t="n"/>
      <c r="H19" s="34" t="n"/>
      <c r="I19" s="34" t="n"/>
      <c r="J19" s="35" t="n"/>
      <c r="K19" s="34" t="n"/>
      <c r="L19" s="33" t="n"/>
      <c r="M19" s="32" t="n"/>
      <c r="N19" s="33" t="n"/>
    </row>
    <row r="20">
      <c r="A20" s="31" t="n"/>
      <c r="B20" s="32" t="n"/>
      <c r="C20" s="33" t="n"/>
      <c r="D20" s="33" t="n"/>
      <c r="E20" s="34" t="n"/>
      <c r="F20" s="34" t="n"/>
      <c r="G20" s="34" t="n"/>
      <c r="H20" s="34" t="n"/>
      <c r="I20" s="34" t="n"/>
      <c r="J20" s="35" t="n"/>
      <c r="K20" s="34" t="n"/>
      <c r="L20" s="33" t="n"/>
      <c r="M20" s="32" t="n"/>
      <c r="N20" s="33" t="n"/>
    </row>
    <row r="21">
      <c r="A21" s="31" t="n"/>
      <c r="B21" s="32" t="n"/>
      <c r="C21" s="33" t="n"/>
      <c r="D21" s="33" t="n"/>
      <c r="E21" s="34" t="n"/>
      <c r="F21" s="34" t="n"/>
      <c r="G21" s="34" t="n"/>
      <c r="H21" s="34" t="n"/>
      <c r="I21" s="34" t="n"/>
      <c r="J21" s="35" t="n"/>
      <c r="K21" s="34" t="n"/>
      <c r="L21" s="33" t="n"/>
      <c r="M21" s="32" t="n"/>
      <c r="N21" s="33" t="n"/>
    </row>
    <row r="22">
      <c r="A22" s="31" t="n"/>
      <c r="B22" s="32" t="n"/>
      <c r="C22" s="33" t="n"/>
      <c r="D22" s="33" t="n"/>
      <c r="E22" s="34" t="n"/>
      <c r="F22" s="34" t="n"/>
      <c r="G22" s="34" t="n"/>
      <c r="H22" s="34" t="n"/>
      <c r="I22" s="34" t="n"/>
      <c r="J22" s="35" t="n"/>
      <c r="K22" s="34" t="n"/>
      <c r="L22" s="33" t="n"/>
      <c r="M22" s="32" t="n"/>
      <c r="N22" s="33" t="n"/>
    </row>
    <row r="23">
      <c r="A23" s="31" t="n"/>
      <c r="B23" s="32" t="n"/>
      <c r="C23" s="33" t="n"/>
      <c r="D23" s="33" t="n"/>
      <c r="E23" s="34" t="n"/>
      <c r="F23" s="34" t="n"/>
      <c r="G23" s="34" t="n"/>
      <c r="H23" s="34" t="n"/>
      <c r="I23" s="34" t="n"/>
      <c r="J23" s="35" t="n"/>
      <c r="K23" s="34" t="n"/>
      <c r="L23" s="33" t="n"/>
      <c r="M23" s="32" t="n"/>
      <c r="N23" s="33" t="n"/>
    </row>
    <row r="24">
      <c r="A24" s="31" t="n"/>
      <c r="B24" s="32" t="n"/>
      <c r="C24" s="33" t="n"/>
      <c r="D24" s="33" t="n"/>
      <c r="E24" s="34" t="n"/>
      <c r="F24" s="34" t="n"/>
      <c r="G24" s="34" t="n"/>
      <c r="H24" s="34" t="n"/>
      <c r="I24" s="34" t="n"/>
      <c r="J24" s="35" t="n"/>
      <c r="K24" s="34" t="n"/>
      <c r="L24" s="33" t="n"/>
      <c r="M24" s="32" t="n"/>
      <c r="N24" s="33" t="n"/>
    </row>
    <row r="25">
      <c r="A25" s="31" t="n"/>
      <c r="B25" s="32" t="n"/>
      <c r="C25" s="33" t="n"/>
      <c r="D25" s="33" t="n"/>
      <c r="E25" s="34" t="n"/>
      <c r="F25" s="34" t="n"/>
      <c r="G25" s="34" t="n"/>
      <c r="H25" s="34" t="n"/>
      <c r="I25" s="34" t="n"/>
      <c r="J25" s="35" t="n"/>
      <c r="K25" s="34" t="n"/>
      <c r="L25" s="33" t="n"/>
      <c r="M25" s="32" t="n"/>
      <c r="N25" s="33" t="n"/>
    </row>
    <row r="26">
      <c r="A26" s="31" t="n"/>
      <c r="B26" s="32" t="n"/>
      <c r="C26" s="33" t="n"/>
      <c r="D26" s="33" t="n"/>
      <c r="E26" s="34" t="n"/>
      <c r="F26" s="34" t="n"/>
      <c r="G26" s="34" t="n"/>
      <c r="H26" s="34" t="n"/>
      <c r="I26" s="34" t="n"/>
      <c r="J26" s="35" t="n"/>
      <c r="K26" s="34" t="n"/>
      <c r="L26" s="33" t="n"/>
      <c r="M26" s="32" t="n"/>
      <c r="N26" s="33" t="n"/>
    </row>
    <row r="27">
      <c r="A27" s="31" t="n"/>
      <c r="B27" s="32" t="n"/>
      <c r="C27" s="33" t="n"/>
      <c r="D27" s="33" t="n"/>
      <c r="E27" s="34" t="n"/>
      <c r="F27" s="34" t="n"/>
      <c r="G27" s="34" t="n"/>
      <c r="H27" s="34" t="n"/>
      <c r="I27" s="34" t="n"/>
      <c r="J27" s="35" t="n"/>
      <c r="K27" s="34" t="n"/>
      <c r="L27" s="33" t="n"/>
      <c r="M27" s="32" t="n"/>
      <c r="N27" s="33" t="n"/>
    </row>
    <row r="28">
      <c r="A28" s="31" t="n"/>
      <c r="B28" s="32" t="n"/>
      <c r="C28" s="33" t="n"/>
      <c r="D28" s="33" t="n"/>
      <c r="E28" s="34" t="n"/>
      <c r="F28" s="34" t="n"/>
      <c r="G28" s="34" t="n"/>
      <c r="H28" s="34" t="n"/>
      <c r="I28" s="34" t="n"/>
      <c r="J28" s="35" t="n"/>
      <c r="K28" s="34" t="n"/>
      <c r="L28" s="33" t="n"/>
      <c r="M28" s="32" t="n"/>
      <c r="N28" s="33" t="n"/>
    </row>
  </sheetData>
  <mergeCells count="5">
    <mergeCell ref="B3:C3"/>
    <mergeCell ref="A2:N2"/>
    <mergeCell ref="B6:N6"/>
    <mergeCell ref="B4:C4"/>
    <mergeCell ref="A1:N1"/>
  </mergeCells>
  <conditionalFormatting sqref="K9:K28">
    <cfRule type="expression" priority="1" dxfId="1">
      <formula>$K9="Entregue"</formula>
    </cfRule>
    <cfRule type="expression" priority="2" dxfId="2">
      <formula>$K9="Reservado"</formula>
    </cfRule>
  </conditionalFormatting>
  <dataValidations count="1">
    <dataValidation sqref="B5" showDropDown="0" showInputMessage="0" showErrorMessage="0" allowBlank="0" type="list">
      <formula1>"Não,Sim"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7A35"/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" customWidth="1" min="1" max="1"/>
    <col width="18.6" customWidth="1" min="2" max="2"/>
    <col width="31.4" customWidth="1" min="3" max="3"/>
    <col width="19.3" customWidth="1" min="4" max="4"/>
    <col width="6.3" customWidth="1" min="5" max="5"/>
    <col width="6.3" customWidth="1" min="6" max="6"/>
    <col width="6.3" customWidth="1" min="7" max="7"/>
    <col width="6.3" customWidth="1" min="8" max="8"/>
    <col width="7.4" customWidth="1" min="9" max="9"/>
    <col width="12.9" customWidth="1" min="10" max="10"/>
    <col width="15.7" customWidth="1" min="11" max="11"/>
    <col width="18.6" customWidth="1" min="12" max="12"/>
    <col width="18.6" customWidth="1" min="13" max="13"/>
    <col width="37.1" customWidth="1" min="14" max="14"/>
  </cols>
  <sheetData>
    <row r="1" ht="27" customHeight="1">
      <c r="A1" s="14" t="inlineStr">
        <is>
          <t>Código</t>
        </is>
      </c>
      <c r="B1" s="14" t="inlineStr">
        <is>
          <t>Reservado em</t>
        </is>
      </c>
      <c r="C1" s="14" t="inlineStr">
        <is>
          <t>Nome completo</t>
        </is>
      </c>
      <c r="D1" s="14" t="inlineStr">
        <is>
          <t>WhatsApp</t>
        </is>
      </c>
      <c r="E1" s="36" t="inlineStr">
        <is>
          <t>P</t>
        </is>
      </c>
      <c r="F1" s="36" t="inlineStr">
        <is>
          <t>M</t>
        </is>
      </c>
      <c r="G1" s="36" t="inlineStr">
        <is>
          <t>G</t>
        </is>
      </c>
      <c r="H1" s="36" t="inlineStr">
        <is>
          <t>GG</t>
        </is>
      </c>
      <c r="I1" s="14" t="inlineStr">
        <is>
          <t>Qtd.</t>
        </is>
      </c>
      <c r="J1" s="14" t="inlineStr">
        <is>
          <t>Total</t>
        </is>
      </c>
      <c r="K1" s="14" t="inlineStr">
        <is>
          <t>Status</t>
        </is>
      </c>
      <c r="L1" s="14" t="inlineStr">
        <is>
          <t>Atendente</t>
        </is>
      </c>
      <c r="M1" s="14" t="inlineStr">
        <is>
          <t>Retirado em</t>
        </is>
      </c>
      <c r="N1" s="14" t="inlineStr">
        <is>
          <t>Observações</t>
        </is>
      </c>
    </row>
  </sheetData>
  <autoFilter ref="A1:N2000"/>
  <conditionalFormatting sqref="A2:N2000">
    <cfRule type="expression" priority="1" dxfId="3">
      <formula>$K2="Cancelado"</formula>
    </cfRule>
    <cfRule type="expression" priority="4" dxfId="4">
      <formula>AND($A2&lt;&gt;"",MOD(ROW(),2)=1)</formula>
    </cfRule>
  </conditionalFormatting>
  <conditionalFormatting sqref="K2:K2000">
    <cfRule type="expression" priority="2" dxfId="1">
      <formula>$K2="Entregue"</formula>
    </cfRule>
    <cfRule type="expression" priority="3" dxfId="2">
      <formula>$K2="Reservado"</formula>
    </cfRule>
  </conditionalFormatting>
  <dataValidations count="1">
    <dataValidation sqref="K2:K2000" showDropDown="0" showInputMessage="0" showErrorMessage="0" allowBlank="1" type="list">
      <formula1>"Reservado,Entregue,Cancelado"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3B9A"/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7.1" customWidth="1" min="1" max="1"/>
    <col width="45.7" customWidth="1" min="2" max="2"/>
    <col width="54.3" customWidth="1" min="3" max="3"/>
  </cols>
  <sheetData>
    <row r="1" ht="39" customHeight="1">
      <c r="A1" s="1" t="inlineStr">
        <is>
          <t>Configurações</t>
        </is>
      </c>
      <c r="B1" s="2" t="n"/>
      <c r="C1" s="2" t="n"/>
    </row>
    <row r="2" ht="21" customHeight="1">
      <c r="A2" s="3" t="inlineStr">
        <is>
          <t>Mude os valores nos campos amarelos. O site usa os valores novos na próxima reserva.</t>
        </is>
      </c>
      <c r="B2" s="2" t="n"/>
      <c r="C2" s="2" t="n"/>
    </row>
    <row r="3">
      <c r="A3" s="4" t="n"/>
      <c r="B3" s="4" t="n"/>
      <c r="C3" s="4" t="n"/>
    </row>
    <row r="4" ht="25.5" customHeight="1">
      <c r="A4" s="13" t="inlineStr">
        <is>
          <t>Reservas</t>
        </is>
      </c>
    </row>
    <row r="5" ht="22.5" customHeight="1">
      <c r="A5" s="37" t="inlineStr">
        <is>
          <t>Preço por camisa</t>
        </is>
      </c>
      <c r="B5" s="38" t="n">
        <v>22</v>
      </c>
      <c r="C5" s="39" t="inlineStr">
        <is>
          <t>Se mudar o preço, avise quem cuida do site para atualizar o texto.</t>
        </is>
      </c>
    </row>
    <row r="6" ht="22.5" customHeight="1">
      <c r="A6" s="37" t="inlineStr">
        <is>
          <t>Máximo de camisas por reserva</t>
        </is>
      </c>
      <c r="B6" s="40" t="n">
        <v>3</v>
      </c>
      <c r="C6" s="39" t="inlineStr"/>
    </row>
    <row r="7" ht="22.5" customHeight="1">
      <c r="A7" s="37" t="inlineStr">
        <is>
          <t>Reservas abertas no site</t>
        </is>
      </c>
      <c r="B7" s="41" t="inlineStr">
        <is>
          <t>Sim</t>
        </is>
      </c>
      <c r="C7" s="39" t="inlineStr">
        <is>
          <t>Desmarque (ou mude para Não) para encerrar as reservas. O site trava na hora.</t>
        </is>
      </c>
    </row>
    <row r="8" ht="22.5" customHeight="1">
      <c r="A8" s="4" t="n"/>
      <c r="B8" s="4" t="n"/>
      <c r="C8" s="4" t="n"/>
    </row>
    <row r="9" ht="25.5" customHeight="1">
      <c r="A9" s="13" t="inlineStr">
        <is>
          <t>Estoque por tamanho</t>
        </is>
      </c>
    </row>
    <row r="10" ht="22.5" customHeight="1">
      <c r="A10" s="14" t="inlineStr">
        <is>
          <t>Tamanho</t>
        </is>
      </c>
      <c r="B10" s="14" t="inlineStr">
        <is>
          <t>Camisas</t>
        </is>
      </c>
      <c r="C10" s="4" t="n"/>
    </row>
    <row r="11" ht="22.5" customHeight="1">
      <c r="A11" s="42" t="inlineStr">
        <is>
          <t>P</t>
        </is>
      </c>
      <c r="B11" s="43" t="n">
        <v>150</v>
      </c>
      <c r="C11" s="39" t="inlineStr">
        <is>
          <t>Para mudar o estoque, edite estes números. O saldo do site se ajusta sozinho.</t>
        </is>
      </c>
    </row>
    <row r="12" ht="22.5" customHeight="1">
      <c r="A12" s="42" t="inlineStr">
        <is>
          <t>M</t>
        </is>
      </c>
      <c r="B12" s="43" t="n">
        <v>250</v>
      </c>
      <c r="C12" s="4" t="n"/>
    </row>
    <row r="13" ht="22.5" customHeight="1">
      <c r="A13" s="42" t="inlineStr">
        <is>
          <t>G</t>
        </is>
      </c>
      <c r="B13" s="43" t="n">
        <v>400</v>
      </c>
      <c r="C13" s="4" t="n"/>
    </row>
    <row r="14" ht="22.5" customHeight="1">
      <c r="A14" s="42" t="inlineStr">
        <is>
          <t>GG</t>
        </is>
      </c>
      <c r="B14" s="43" t="n">
        <v>200</v>
      </c>
      <c r="C14" s="4" t="n"/>
    </row>
    <row r="15" ht="22.5" customHeight="1">
      <c r="A15" s="44" t="inlineStr">
        <is>
          <t>Total</t>
        </is>
      </c>
      <c r="B15" s="44">
        <f>SUM(B11:B14)</f>
        <v/>
      </c>
      <c r="C15" s="4" t="n"/>
    </row>
    <row r="16" ht="22.5" customHeight="1">
      <c r="A16" s="4" t="n"/>
      <c r="B16" s="4" t="n"/>
      <c r="C16" s="4" t="n"/>
    </row>
    <row r="17" ht="25.5" customHeight="1">
      <c r="A17" s="13" t="inlineStr">
        <is>
          <t>Informações para consulta</t>
        </is>
      </c>
    </row>
    <row r="18" ht="22.5" customHeight="1">
      <c r="A18" s="45" t="inlineStr">
        <is>
          <t>Local de retirada</t>
        </is>
      </c>
      <c r="B18" s="46" t="inlineStr">
        <is>
          <t>Comitê da Direita Pernambucana</t>
        </is>
      </c>
      <c r="C18" s="4" t="n"/>
    </row>
    <row r="19" ht="22.5" customHeight="1">
      <c r="A19" s="45" t="inlineStr">
        <is>
          <t>Endereço</t>
        </is>
      </c>
      <c r="B19" s="46" t="inlineStr">
        <is>
          <t>Av. Herculano Bandeira, 766 — Pina, Recife/PE</t>
        </is>
      </c>
      <c r="C19" s="4" t="n"/>
    </row>
    <row r="20" ht="22.5" customHeight="1">
      <c r="A20" s="45" t="inlineStr">
        <is>
          <t>Horário de retirada</t>
        </is>
      </c>
      <c r="B20" s="46" t="inlineStr">
        <is>
          <t>Segunda a sábado, das 9h às 18h</t>
        </is>
      </c>
      <c r="C20" s="4" t="n"/>
    </row>
    <row r="21" ht="22.5" customHeight="1">
      <c r="A21" s="45" t="inlineStr">
        <is>
          <t>Evento</t>
        </is>
      </c>
      <c r="B21" s="46" t="inlineStr">
        <is>
          <t>Quinta-feira, 22/10/2026, às 19h, na Pracinha de Boa Viagem</t>
        </is>
      </c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</sheetData>
  <mergeCells count="5">
    <mergeCell ref="A1:C1"/>
    <mergeCell ref="A17:C17"/>
    <mergeCell ref="A9:C9"/>
    <mergeCell ref="A4:C4"/>
    <mergeCell ref="A2:C2"/>
  </mergeCells>
  <dataValidations count="1">
    <dataValidation sqref="B7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6A61"/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8.6" customWidth="1" min="2" max="2"/>
  </cols>
  <sheetData>
    <row r="1" ht="39" customHeight="1">
      <c r="A1" s="1" t="inlineStr">
        <is>
          <t>Como usar</t>
        </is>
      </c>
      <c r="B1" s="2" t="n"/>
    </row>
    <row r="2" ht="21" customHeight="1">
      <c r="A2" s="3" t="inlineStr">
        <is>
          <t>Guia rápido para a equipe do comitê.</t>
        </is>
      </c>
      <c r="B2" s="2" t="n"/>
    </row>
    <row r="3">
      <c r="A3" s="4" t="n"/>
      <c r="B3" s="4" t="n"/>
    </row>
    <row r="4" ht="25.5" customHeight="1">
      <c r="A4" s="13" t="inlineStr">
        <is>
          <t>Na retirada (aba Balcão)</t>
        </is>
      </c>
    </row>
    <row r="5" ht="24" customHeight="1">
      <c r="A5" s="47" t="n">
        <v>1</v>
      </c>
      <c r="B5" s="48" t="inlineStr">
        <is>
          <t>Peça o código da reserva (começa com B22-) ou o WhatsApp da pessoa e digite no campo amarelo.</t>
        </is>
      </c>
    </row>
    <row r="6" ht="24" customHeight="1">
      <c r="A6" s="47" t="n">
        <v>2</v>
      </c>
      <c r="B6" s="48" t="inlineStr">
        <is>
          <t>Confira nome, tamanhos e total. Se o Status for Entregue, a camisa já foi retirada: não entregue de novo.</t>
        </is>
      </c>
    </row>
    <row r="7" ht="24" customHeight="1">
      <c r="A7" s="47" t="n">
        <v>3</v>
      </c>
      <c r="B7" s="48" t="inlineStr">
        <is>
          <t>Receba o pagamento e entregue TODAS as camisas do pedido.</t>
        </is>
      </c>
    </row>
    <row r="8" ht="24" customHeight="1">
      <c r="A8" s="47" t="n">
        <v>4</v>
      </c>
      <c r="B8" s="48" t="inlineStr">
        <is>
          <t>Escreva seu nome em Atendente e marque Entregue. A planilha registra a data e a hora.</t>
        </is>
      </c>
    </row>
    <row r="9">
      <c r="A9" s="4" t="n"/>
      <c r="B9" s="4" t="n"/>
    </row>
    <row r="10" ht="25.5" customHeight="1">
      <c r="A10" s="13" t="inlineStr">
        <is>
          <t>Se alguém desistir</t>
        </is>
      </c>
    </row>
    <row r="11" ht="24" customHeight="1">
      <c r="A11" s="47" t="n">
        <v>1</v>
      </c>
      <c r="B11" s="48" t="inlineStr">
        <is>
          <t>Na aba Reservas, mude o Status da reserva para Cancelado. As camisas voltam para o estoque do site.</t>
        </is>
      </c>
    </row>
    <row r="12">
      <c r="A12" s="4" t="n"/>
      <c r="B12" s="4" t="n"/>
    </row>
    <row r="13" ht="25.5" customHeight="1">
      <c r="A13" s="13" t="inlineStr">
        <is>
          <t>Estoque, preço e encerramento (aba Configurações)</t>
        </is>
      </c>
    </row>
    <row r="14" ht="24" customHeight="1">
      <c r="A14" s="47" t="n">
        <v>1</v>
      </c>
      <c r="B14" s="48" t="inlineStr">
        <is>
          <t>Para mudar o estoque de um tamanho, edite o número na tabela Estoque por tamanho.</t>
        </is>
      </c>
    </row>
    <row r="15" ht="24" customHeight="1">
      <c r="A15" s="47" t="n">
        <v>2</v>
      </c>
      <c r="B15" s="48" t="inlineStr">
        <is>
          <t>Para encerrar as reservas, desmarque Reservas abertas no site. Para reabrir, marque de novo.</t>
        </is>
      </c>
    </row>
    <row r="16">
      <c r="A16" s="4" t="n"/>
      <c r="B16" s="4" t="n"/>
    </row>
    <row r="17" ht="25.5" customHeight="1">
      <c r="A17" s="13" t="inlineStr">
        <is>
          <t>Acompanhamento (aba Painel)</t>
        </is>
      </c>
    </row>
    <row r="18" ht="24" customHeight="1">
      <c r="A18" s="47" t="n">
        <v>1</v>
      </c>
      <c r="B18" s="48" t="inlineStr">
        <is>
          <t>Mostra reservas, camisas entregues, valores e quanto resta de cada tamanho. Tudo se atualiza sozinho.</t>
        </is>
      </c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</sheetData>
  <mergeCells count="6">
    <mergeCell ref="A4:B4"/>
    <mergeCell ref="A2:B2"/>
    <mergeCell ref="A10:B10"/>
    <mergeCell ref="A13:B13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2026-10-12T18:45:16Z</dcterms:created>
  <dcterms:modified xsi:type="dcterms:W3CDTF">2026-10-12T18:45:16Z</dcterms:modified>
</cp:coreProperties>
</file>